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sertifikalarım\"/>
    </mc:Choice>
  </mc:AlternateContent>
  <xr:revisionPtr revIDLastSave="0" documentId="8_{37086E2D-D7C5-4235-A79D-D1778AD146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rsonel_Veri_Seti" sheetId="1" r:id="rId1"/>
    <sheet name="Referans_Tablosu" sheetId="2" r:id="rId2"/>
    <sheet name="Pivot_Rapor_ve_Grafi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D15" i="1"/>
  <c r="O11" i="1"/>
  <c r="K11" i="1"/>
  <c r="L11" i="1" s="1"/>
  <c r="M11" i="1" s="1"/>
  <c r="I11" i="1"/>
  <c r="F11" i="1"/>
  <c r="B11" i="1"/>
  <c r="D11" i="1" s="1"/>
  <c r="O10" i="1"/>
  <c r="K10" i="1"/>
  <c r="L10" i="1" s="1"/>
  <c r="M10" i="1" s="1"/>
  <c r="I10" i="1"/>
  <c r="F10" i="1"/>
  <c r="D10" i="1"/>
  <c r="C10" i="1"/>
  <c r="B10" i="1"/>
  <c r="O9" i="1"/>
  <c r="K9" i="1"/>
  <c r="L9" i="1" s="1"/>
  <c r="M9" i="1" s="1"/>
  <c r="I9" i="1"/>
  <c r="F9" i="1"/>
  <c r="B9" i="1"/>
  <c r="C9" i="1" s="1"/>
  <c r="O8" i="1"/>
  <c r="M8" i="1"/>
  <c r="L8" i="1"/>
  <c r="K8" i="1"/>
  <c r="I8" i="1"/>
  <c r="F8" i="1"/>
  <c r="B8" i="1"/>
  <c r="D8" i="1" s="1"/>
  <c r="O7" i="1"/>
  <c r="K7" i="1"/>
  <c r="L7" i="1" s="1"/>
  <c r="M7" i="1" s="1"/>
  <c r="I7" i="1"/>
  <c r="F7" i="1"/>
  <c r="B7" i="1"/>
  <c r="D7" i="1" s="1"/>
  <c r="O6" i="1"/>
  <c r="K6" i="1"/>
  <c r="L6" i="1" s="1"/>
  <c r="M6" i="1" s="1"/>
  <c r="I6" i="1"/>
  <c r="F6" i="1"/>
  <c r="D6" i="1"/>
  <c r="C6" i="1"/>
  <c r="B6" i="1"/>
  <c r="O5" i="1"/>
  <c r="K5" i="1"/>
  <c r="L5" i="1" s="1"/>
  <c r="M5" i="1" s="1"/>
  <c r="I5" i="1"/>
  <c r="F5" i="1"/>
  <c r="B5" i="1"/>
  <c r="D5" i="1" s="1"/>
  <c r="O4" i="1"/>
  <c r="M4" i="1"/>
  <c r="L4" i="1"/>
  <c r="K4" i="1"/>
  <c r="I4" i="1"/>
  <c r="F4" i="1"/>
  <c r="B4" i="1"/>
  <c r="D4" i="1" s="1"/>
  <c r="O3" i="1"/>
  <c r="D16" i="1" s="1"/>
  <c r="K3" i="1"/>
  <c r="L3" i="1" s="1"/>
  <c r="M3" i="1" s="1"/>
  <c r="I3" i="1"/>
  <c r="F3" i="1"/>
  <c r="B3" i="1"/>
  <c r="D3" i="1" s="1"/>
  <c r="O2" i="1"/>
  <c r="D17" i="1" s="1"/>
  <c r="K2" i="1"/>
  <c r="L2" i="1" s="1"/>
  <c r="M2" i="1" s="1"/>
  <c r="I2" i="1"/>
  <c r="F2" i="1"/>
  <c r="C9" i="3" s="1"/>
  <c r="D2" i="1"/>
  <c r="C2" i="1"/>
  <c r="B2" i="1"/>
  <c r="D9" i="1" l="1"/>
  <c r="C4" i="1"/>
  <c r="C8" i="1"/>
  <c r="C6" i="3"/>
  <c r="C3" i="1"/>
  <c r="C7" i="1"/>
  <c r="C11" i="1"/>
  <c r="C7" i="3"/>
  <c r="C8" i="3"/>
  <c r="C5" i="1"/>
</calcChain>
</file>

<file path=xl/sharedStrings.xml><?xml version="1.0" encoding="utf-8"?>
<sst xmlns="http://schemas.openxmlformats.org/spreadsheetml/2006/main" count="73" uniqueCount="51">
  <si>
    <t>Ham Ad Soyad</t>
  </si>
  <si>
    <t>Düzenlenmiş Ad Soyad</t>
  </si>
  <si>
    <t>İsim</t>
  </si>
  <si>
    <t>Soyisim</t>
  </si>
  <si>
    <t>Sicil No</t>
  </si>
  <si>
    <t>Departman</t>
  </si>
  <si>
    <t>Giriş Tarihi</t>
  </si>
  <si>
    <t>Bugünün Tarihi</t>
  </si>
  <si>
    <t>Çalışma Süresi (Yıl)</t>
  </si>
  <si>
    <t>Eski Maaş</t>
  </si>
  <si>
    <t>Zam Oranı</t>
  </si>
  <si>
    <t>Zamlı Maaş</t>
  </si>
  <si>
    <t>Değişim Oranı</t>
  </si>
  <si>
    <t>Performans Notu</t>
  </si>
  <si>
    <t>Durum</t>
  </si>
  <si>
    <t xml:space="preserve">  ahmet   YILMAZ  </t>
  </si>
  <si>
    <t>PER001</t>
  </si>
  <si>
    <t xml:space="preserve">buse DEMİR   </t>
  </si>
  <si>
    <t>PER002</t>
  </si>
  <si>
    <t xml:space="preserve">  MEHMET kaya</t>
  </si>
  <si>
    <t>PER003</t>
  </si>
  <si>
    <t xml:space="preserve"> canan   ÖZTÜRK </t>
  </si>
  <si>
    <t>PER004</t>
  </si>
  <si>
    <t xml:space="preserve">ALİ   VURAL </t>
  </si>
  <si>
    <t>PER005</t>
  </si>
  <si>
    <t xml:space="preserve"> fatma  AYDIN</t>
  </si>
  <si>
    <t>PER006</t>
  </si>
  <si>
    <t xml:space="preserve"> mustafa  KILIÇ </t>
  </si>
  <si>
    <t>PER007</t>
  </si>
  <si>
    <t xml:space="preserve">ZEYNEP   ÇETİN  </t>
  </si>
  <si>
    <t>PER008</t>
  </si>
  <si>
    <t xml:space="preserve">  Gökhan  aslan </t>
  </si>
  <si>
    <t>PER009</t>
  </si>
  <si>
    <t xml:space="preserve">  Ebru  YILDIZ </t>
  </si>
  <si>
    <t>PER010</t>
  </si>
  <si>
    <t>Özet İstatistikler (COUNT / COUNTIF)</t>
  </si>
  <si>
    <t>Toplam Değerlendirilen Personel Sayısı:</t>
  </si>
  <si>
    <t>Başarılı Personel Sayısı (&gt;=80):</t>
  </si>
  <si>
    <t>Geliştirilmeli Olan Personel Sayısı:</t>
  </si>
  <si>
    <t>İnsan Kaynakları</t>
  </si>
  <si>
    <t>Bilgi Teknolojileri</t>
  </si>
  <si>
    <t>Pazarlama</t>
  </si>
  <si>
    <t>Finans</t>
  </si>
  <si>
    <t>Satış</t>
  </si>
  <si>
    <t>DİNAMİK PIVOT REPORT VE GRAFİK ANALİZİ</t>
  </si>
  <si>
    <t>Pivot Table: Departmanlara Göre Ortalama Performans</t>
  </si>
  <si>
    <t>Satır Etiketleri (Departman)</t>
  </si>
  <si>
    <t>Ortalama / Performans Notu</t>
  </si>
  <si>
    <t>Genel Toplam</t>
  </si>
  <si>
    <t>[Dilimleyici (Slicer): Durum]</t>
  </si>
  <si>
    <t>⬜ Başarılı
⬜ Geliştirilmeli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</si>
</sst>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₺&quot;#,##0.00"/>
    <numFmt numFmtId="166" formatCode="0.0%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name val="Segoe UI"/>
    </font>
    <font>
      <b/>
      <sz val="11"/>
      <name val="Segoe UI"/>
    </font>
    <font>
      <b/>
      <sz val="14"/>
      <color rgb="FF1B365D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D9E2EC"/>
        <bgColor rgb="FFD9E2E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double">
        <color rgb="FF1B365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6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2" fillId="0" borderId="0" xfId="0" applyFont="1"/>
    <xf numFmtId="3" fontId="3" fillId="0" borderId="0" xfId="0" applyNumberFormat="1" applyFont="1" applyAlignment="1">
      <alignment horizontal="center" vertical="center"/>
    </xf>
    <xf numFmtId="0" fontId="4" fillId="0" borderId="0" xfId="0" applyFont="1"/>
    <xf numFmtId="0" fontId="1" fillId="2" borderId="0" xfId="0" applyFont="1" applyFill="1"/>
    <xf numFmtId="167" fontId="2" fillId="0" borderId="1" xfId="0" applyNumberFormat="1" applyFont="1" applyBorder="1" applyAlignment="1">
      <alignment horizontal="right" vertical="center"/>
    </xf>
    <xf numFmtId="0" fontId="3" fillId="0" borderId="2" xfId="0" applyFont="1" applyBorder="1"/>
    <xf numFmtId="167" fontId="3" fillId="0" borderId="2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Departman Bazlı Ortalama Performans Grafiği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Pivot_Rapor_ve_Grafik!$C$5</c:f>
              <c:strCache>
                <c:ptCount val="1"/>
                <c:pt idx="0">
                  <c:v>Ortalama / Performans Notu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Pivot_Rapor_ve_Grafik!$B$6:$B$10</c:f>
              <c:strCache>
                <c:ptCount val="5"/>
                <c:pt idx="0">
                  <c:v>İnsan Kaynakları</c:v>
                </c:pt>
                <c:pt idx="1">
                  <c:v>Bilgi Teknolojileri</c:v>
                </c:pt>
                <c:pt idx="2">
                  <c:v>Pazarlama</c:v>
                </c:pt>
                <c:pt idx="3">
                  <c:v>Finans</c:v>
                </c:pt>
                <c:pt idx="4">
                  <c:v>Satış</c:v>
                </c:pt>
              </c:strCache>
            </c:strRef>
          </c:cat>
          <c:val>
            <c:numRef>
              <c:f>Pivot_Rapor_ve_Grafik!$C$6:$C$10</c:f>
              <c:numCache>
                <c:formatCode>0.0</c:formatCode>
                <c:ptCount val="5"/>
                <c:pt idx="0">
                  <c:v>87.5</c:v>
                </c:pt>
                <c:pt idx="1">
                  <c:v>91.333333333333329</c:v>
                </c:pt>
                <c:pt idx="2">
                  <c:v>71</c:v>
                </c:pt>
                <c:pt idx="3">
                  <c:v>84.5</c:v>
                </c:pt>
                <c:pt idx="4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F-4113-8123-A3AF3AA77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Departmanlar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Ortalama Performans Notu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opLeftCell="A7" zoomScale="68" zoomScaleNormal="68" workbookViewId="0"/>
  </sheetViews>
  <sheetFormatPr defaultRowHeight="15" x14ac:dyDescent="0.25"/>
  <cols>
    <col min="1" max="1" width="21" customWidth="1"/>
    <col min="2" max="2" width="42" customWidth="1"/>
    <col min="3" max="3" width="29" customWidth="1"/>
    <col min="4" max="4" width="37" customWidth="1"/>
    <col min="5" max="5" width="15" customWidth="1"/>
    <col min="6" max="6" width="52" customWidth="1"/>
    <col min="7" max="7" width="15" customWidth="1"/>
    <col min="8" max="8" width="17" customWidth="1"/>
    <col min="9" max="9" width="24" customWidth="1"/>
    <col min="10" max="10" width="15" customWidth="1"/>
    <col min="11" max="11" width="42" customWidth="1"/>
    <col min="12" max="12" width="15" customWidth="1"/>
    <col min="13" max="13" width="17" customWidth="1"/>
    <col min="14" max="14" width="18" customWidth="1"/>
    <col min="15" max="15" width="43" customWidth="1"/>
  </cols>
  <sheetData>
    <row r="1" spans="1:1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 x14ac:dyDescent="0.3">
      <c r="A2" s="2" t="s">
        <v>15</v>
      </c>
      <c r="B2" s="2" t="str">
        <f t="shared" ref="B2:B11" si="0">PROPER(TRIM(A2))</f>
        <v>Ahmet Yılmaz</v>
      </c>
      <c r="C2" s="2" t="str">
        <f t="shared" ref="C2:C11" si="1">LEFT(B2,FIND(" ",B2)-1)</f>
        <v>Ahmet</v>
      </c>
      <c r="D2" s="2" t="str">
        <f t="shared" ref="D2:D11" si="2">RIGHT(B2,LEN(B2)-FIND(" ",B2))</f>
        <v>Yılmaz</v>
      </c>
      <c r="E2" s="3" t="s">
        <v>16</v>
      </c>
      <c r="F2" s="2" t="str">
        <f>VLOOKUP(E2,Referans_Tablosu!$A$2:$B$11,2,FALSE)</f>
        <v>İnsan Kaynakları</v>
      </c>
      <c r="G2" s="4">
        <v>42073</v>
      </c>
      <c r="H2" s="4">
        <v>46195</v>
      </c>
      <c r="I2" s="5">
        <f t="shared" ref="I2:I11" si="3">DATEDIF(G2,H2,"Y")</f>
        <v>11</v>
      </c>
      <c r="J2" s="6">
        <v>45000</v>
      </c>
      <c r="K2" s="7">
        <f t="shared" ref="K2:K11" si="4">IF(N2&gt;=90,0.3,IF(N2&gt;=80,0.22,0.15))</f>
        <v>0.22</v>
      </c>
      <c r="L2" s="6">
        <f t="shared" ref="L2:L11" si="5">J2*(1+K2)</f>
        <v>54900</v>
      </c>
      <c r="M2" s="7">
        <f t="shared" ref="M2:M11" si="6">(L2-J2)/J2</f>
        <v>0.22</v>
      </c>
      <c r="N2" s="5">
        <v>85</v>
      </c>
      <c r="O2" s="3" t="str">
        <f t="shared" ref="O2:O11" si="7">IF(N2&gt;=80,"Başarılı","Geliştirilmeli")</f>
        <v>Başarılı</v>
      </c>
    </row>
    <row r="3" spans="1:15" ht="16.5" x14ac:dyDescent="0.3">
      <c r="A3" s="8" t="s">
        <v>17</v>
      </c>
      <c r="B3" s="8" t="str">
        <f t="shared" si="0"/>
        <v>Buse Demir</v>
      </c>
      <c r="C3" s="8" t="str">
        <f t="shared" si="1"/>
        <v>Buse</v>
      </c>
      <c r="D3" s="8" t="str">
        <f t="shared" si="2"/>
        <v>Demir</v>
      </c>
      <c r="E3" s="9" t="s">
        <v>18</v>
      </c>
      <c r="F3" s="8" t="str">
        <f>VLOOKUP(E3,Referans_Tablosu!$A$2:$B$11,2,FALSE)</f>
        <v>Bilgi Teknolojileri</v>
      </c>
      <c r="G3" s="10">
        <v>43266</v>
      </c>
      <c r="H3" s="10">
        <v>46195</v>
      </c>
      <c r="I3" s="11">
        <f t="shared" si="3"/>
        <v>8</v>
      </c>
      <c r="J3" s="12">
        <v>52000</v>
      </c>
      <c r="K3" s="13">
        <f t="shared" si="4"/>
        <v>0.3</v>
      </c>
      <c r="L3" s="12">
        <f t="shared" si="5"/>
        <v>67600</v>
      </c>
      <c r="M3" s="13">
        <f t="shared" si="6"/>
        <v>0.3</v>
      </c>
      <c r="N3" s="11">
        <v>92</v>
      </c>
      <c r="O3" s="9" t="str">
        <f t="shared" si="7"/>
        <v>Başarılı</v>
      </c>
    </row>
    <row r="4" spans="1:15" ht="16.5" x14ac:dyDescent="0.3">
      <c r="A4" s="2" t="s">
        <v>19</v>
      </c>
      <c r="B4" s="2" t="str">
        <f t="shared" si="0"/>
        <v>Mehmet Kaya</v>
      </c>
      <c r="C4" s="2" t="str">
        <f t="shared" si="1"/>
        <v>Mehmet</v>
      </c>
      <c r="D4" s="2" t="str">
        <f t="shared" si="2"/>
        <v>Kaya</v>
      </c>
      <c r="E4" s="3" t="s">
        <v>20</v>
      </c>
      <c r="F4" s="2" t="str">
        <f>VLOOKUP(E4,Referans_Tablosu!$A$2:$B$11,2,FALSE)</f>
        <v>Pazarlama</v>
      </c>
      <c r="G4" s="4">
        <v>44440</v>
      </c>
      <c r="H4" s="4">
        <v>46195</v>
      </c>
      <c r="I4" s="5">
        <f t="shared" si="3"/>
        <v>4</v>
      </c>
      <c r="J4" s="6">
        <v>38000</v>
      </c>
      <c r="K4" s="7">
        <f t="shared" si="4"/>
        <v>0.15</v>
      </c>
      <c r="L4" s="6">
        <f t="shared" si="5"/>
        <v>43700</v>
      </c>
      <c r="M4" s="7">
        <f t="shared" si="6"/>
        <v>0.15</v>
      </c>
      <c r="N4" s="5">
        <v>74</v>
      </c>
      <c r="O4" s="3" t="str">
        <f t="shared" si="7"/>
        <v>Geliştirilmeli</v>
      </c>
    </row>
    <row r="5" spans="1:15" ht="16.5" x14ac:dyDescent="0.3">
      <c r="A5" s="8" t="s">
        <v>21</v>
      </c>
      <c r="B5" s="8" t="str">
        <f t="shared" si="0"/>
        <v>Canan Öztürk</v>
      </c>
      <c r="C5" s="8" t="str">
        <f t="shared" si="1"/>
        <v>Canan</v>
      </c>
      <c r="D5" s="8" t="str">
        <f t="shared" si="2"/>
        <v>Öztürk</v>
      </c>
      <c r="E5" s="9" t="s">
        <v>22</v>
      </c>
      <c r="F5" s="8" t="str">
        <f>VLOOKUP(E5,Referans_Tablosu!$A$2:$B$11,2,FALSE)</f>
        <v>Finans</v>
      </c>
      <c r="G5" s="10">
        <v>42786</v>
      </c>
      <c r="H5" s="10">
        <v>46195</v>
      </c>
      <c r="I5" s="11">
        <f t="shared" si="3"/>
        <v>9</v>
      </c>
      <c r="J5" s="12">
        <v>48000</v>
      </c>
      <c r="K5" s="13">
        <f t="shared" si="4"/>
        <v>0.22</v>
      </c>
      <c r="L5" s="12">
        <f t="shared" si="5"/>
        <v>58560</v>
      </c>
      <c r="M5" s="13">
        <f t="shared" si="6"/>
        <v>0.22</v>
      </c>
      <c r="N5" s="11">
        <v>88</v>
      </c>
      <c r="O5" s="9" t="str">
        <f t="shared" si="7"/>
        <v>Başarılı</v>
      </c>
    </row>
    <row r="6" spans="1:15" ht="16.5" x14ac:dyDescent="0.3">
      <c r="A6" s="2" t="s">
        <v>23</v>
      </c>
      <c r="B6" s="2" t="str">
        <f t="shared" si="0"/>
        <v>Ali Vural</v>
      </c>
      <c r="C6" s="2" t="str">
        <f t="shared" si="1"/>
        <v>Ali</v>
      </c>
      <c r="D6" s="2" t="str">
        <f t="shared" si="2"/>
        <v>Vural</v>
      </c>
      <c r="E6" s="3" t="s">
        <v>24</v>
      </c>
      <c r="F6" s="2" t="str">
        <f>VLOOKUP(E6,Referans_Tablosu!$A$2:$B$11,2,FALSE)</f>
        <v>Bilgi Teknolojileri</v>
      </c>
      <c r="G6" s="4">
        <v>41948</v>
      </c>
      <c r="H6" s="4">
        <v>46195</v>
      </c>
      <c r="I6" s="5">
        <f t="shared" si="3"/>
        <v>11</v>
      </c>
      <c r="J6" s="6">
        <v>65000</v>
      </c>
      <c r="K6" s="7">
        <f t="shared" si="4"/>
        <v>0.3</v>
      </c>
      <c r="L6" s="6">
        <f t="shared" si="5"/>
        <v>84500</v>
      </c>
      <c r="M6" s="7">
        <f t="shared" si="6"/>
        <v>0.3</v>
      </c>
      <c r="N6" s="5">
        <v>95</v>
      </c>
      <c r="O6" s="3" t="str">
        <f t="shared" si="7"/>
        <v>Başarılı</v>
      </c>
    </row>
    <row r="7" spans="1:15" ht="16.5" x14ac:dyDescent="0.3">
      <c r="A7" s="8" t="s">
        <v>25</v>
      </c>
      <c r="B7" s="8" t="str">
        <f t="shared" si="0"/>
        <v>Fatma Aydın</v>
      </c>
      <c r="C7" s="8" t="str">
        <f t="shared" si="1"/>
        <v>Fatma</v>
      </c>
      <c r="D7" s="8" t="str">
        <f t="shared" si="2"/>
        <v>Aydın</v>
      </c>
      <c r="E7" s="9" t="s">
        <v>26</v>
      </c>
      <c r="F7" s="8" t="str">
        <f>VLOOKUP(E7,Referans_Tablosu!$A$2:$B$11,2,FALSE)</f>
        <v>İnsan Kaynakları</v>
      </c>
      <c r="G7" s="10">
        <v>43689</v>
      </c>
      <c r="H7" s="10">
        <v>46195</v>
      </c>
      <c r="I7" s="11">
        <f t="shared" si="3"/>
        <v>6</v>
      </c>
      <c r="J7" s="12">
        <v>72000</v>
      </c>
      <c r="K7" s="13">
        <f t="shared" si="4"/>
        <v>0.3</v>
      </c>
      <c r="L7" s="12">
        <f t="shared" si="5"/>
        <v>93600</v>
      </c>
      <c r="M7" s="13">
        <f t="shared" si="6"/>
        <v>0.3</v>
      </c>
      <c r="N7" s="11">
        <v>90</v>
      </c>
      <c r="O7" s="9" t="str">
        <f t="shared" si="7"/>
        <v>Başarılı</v>
      </c>
    </row>
    <row r="8" spans="1:15" ht="16.5" x14ac:dyDescent="0.3">
      <c r="A8" s="2" t="s">
        <v>27</v>
      </c>
      <c r="B8" s="2" t="str">
        <f t="shared" si="0"/>
        <v>Mustafa Kılıç</v>
      </c>
      <c r="C8" s="2" t="str">
        <f t="shared" si="1"/>
        <v>Mustafa</v>
      </c>
      <c r="D8" s="2" t="str">
        <f t="shared" si="2"/>
        <v>Kılıç</v>
      </c>
      <c r="E8" s="3" t="s">
        <v>28</v>
      </c>
      <c r="F8" s="2" t="str">
        <f>VLOOKUP(E8,Referans_Tablosu!$A$2:$B$11,2,FALSE)</f>
        <v>Pazarlama</v>
      </c>
      <c r="G8" s="4">
        <v>44571</v>
      </c>
      <c r="H8" s="4">
        <v>46195</v>
      </c>
      <c r="I8" s="5">
        <f t="shared" si="3"/>
        <v>4</v>
      </c>
      <c r="J8" s="6">
        <v>40000</v>
      </c>
      <c r="K8" s="7">
        <f t="shared" si="4"/>
        <v>0.15</v>
      </c>
      <c r="L8" s="6">
        <f t="shared" si="5"/>
        <v>46000</v>
      </c>
      <c r="M8" s="7">
        <f t="shared" si="6"/>
        <v>0.15</v>
      </c>
      <c r="N8" s="5">
        <v>68</v>
      </c>
      <c r="O8" s="3" t="str">
        <f t="shared" si="7"/>
        <v>Geliştirilmeli</v>
      </c>
    </row>
    <row r="9" spans="1:15" ht="16.5" x14ac:dyDescent="0.3">
      <c r="A9" s="8" t="s">
        <v>29</v>
      </c>
      <c r="B9" s="8" t="str">
        <f t="shared" si="0"/>
        <v>Zeynep Çetin</v>
      </c>
      <c r="C9" s="8" t="str">
        <f t="shared" si="1"/>
        <v>Zeynep</v>
      </c>
      <c r="D9" s="8" t="str">
        <f t="shared" si="2"/>
        <v>Çetin</v>
      </c>
      <c r="E9" s="9" t="s">
        <v>30</v>
      </c>
      <c r="F9" s="8" t="str">
        <f>VLOOKUP(E9,Referans_Tablosu!$A$2:$B$11,2,FALSE)</f>
        <v>Finans</v>
      </c>
      <c r="G9" s="10">
        <v>42485</v>
      </c>
      <c r="H9" s="10">
        <v>46195</v>
      </c>
      <c r="I9" s="11">
        <f t="shared" si="3"/>
        <v>10</v>
      </c>
      <c r="J9" s="12">
        <v>49000</v>
      </c>
      <c r="K9" s="13">
        <f t="shared" si="4"/>
        <v>0.22</v>
      </c>
      <c r="L9" s="12">
        <f t="shared" si="5"/>
        <v>59780</v>
      </c>
      <c r="M9" s="13">
        <f t="shared" si="6"/>
        <v>0.22</v>
      </c>
      <c r="N9" s="11">
        <v>81</v>
      </c>
      <c r="O9" s="9" t="str">
        <f t="shared" si="7"/>
        <v>Başarılı</v>
      </c>
    </row>
    <row r="10" spans="1:15" ht="16.5" x14ac:dyDescent="0.3">
      <c r="A10" s="2" t="s">
        <v>31</v>
      </c>
      <c r="B10" s="2" t="str">
        <f t="shared" si="0"/>
        <v>Gökhan Aslan</v>
      </c>
      <c r="C10" s="2" t="str">
        <f t="shared" si="1"/>
        <v>Gökhan</v>
      </c>
      <c r="D10" s="2" t="str">
        <f t="shared" si="2"/>
        <v>Aslan</v>
      </c>
      <c r="E10" s="3" t="s">
        <v>32</v>
      </c>
      <c r="F10" s="2" t="str">
        <f>VLOOKUP(E10,Referans_Tablosu!$A$2:$B$11,2,FALSE)</f>
        <v>Bilgi Teknolojileri</v>
      </c>
      <c r="G10" s="4">
        <v>44134</v>
      </c>
      <c r="H10" s="4">
        <v>46195</v>
      </c>
      <c r="I10" s="5">
        <f t="shared" si="3"/>
        <v>5</v>
      </c>
      <c r="J10" s="6">
        <v>55000</v>
      </c>
      <c r="K10" s="7">
        <f t="shared" si="4"/>
        <v>0.22</v>
      </c>
      <c r="L10" s="6">
        <f t="shared" si="5"/>
        <v>67100</v>
      </c>
      <c r="M10" s="7">
        <f t="shared" si="6"/>
        <v>0.22</v>
      </c>
      <c r="N10" s="5">
        <v>87</v>
      </c>
      <c r="O10" s="3" t="str">
        <f t="shared" si="7"/>
        <v>Başarılı</v>
      </c>
    </row>
    <row r="11" spans="1:15" ht="16.5" x14ac:dyDescent="0.3">
      <c r="A11" s="8" t="s">
        <v>33</v>
      </c>
      <c r="B11" s="8" t="str">
        <f t="shared" si="0"/>
        <v>Ebru Yıldız</v>
      </c>
      <c r="C11" s="8" t="str">
        <f t="shared" si="1"/>
        <v>Ebru</v>
      </c>
      <c r="D11" s="8" t="str">
        <f t="shared" si="2"/>
        <v>Yıldız</v>
      </c>
      <c r="E11" s="9" t="s">
        <v>34</v>
      </c>
      <c r="F11" s="8" t="str">
        <f>VLOOKUP(E11,Referans_Tablosu!$A$2:$B$11,2,FALSE)</f>
        <v>Satış</v>
      </c>
      <c r="G11" s="10">
        <v>45060</v>
      </c>
      <c r="H11" s="10">
        <v>46195</v>
      </c>
      <c r="I11" s="11">
        <f t="shared" si="3"/>
        <v>3</v>
      </c>
      <c r="J11" s="12">
        <v>36000</v>
      </c>
      <c r="K11" s="13">
        <f t="shared" si="4"/>
        <v>0.15</v>
      </c>
      <c r="L11" s="12">
        <f t="shared" si="5"/>
        <v>41400</v>
      </c>
      <c r="M11" s="13">
        <f t="shared" si="6"/>
        <v>0.15</v>
      </c>
      <c r="N11" s="11">
        <v>79</v>
      </c>
      <c r="O11" s="9" t="str">
        <f t="shared" si="7"/>
        <v>Geliştirilmeli</v>
      </c>
    </row>
    <row r="14" spans="1:15" ht="16.5" x14ac:dyDescent="0.3">
      <c r="B14" s="14" t="s">
        <v>35</v>
      </c>
    </row>
    <row r="15" spans="1:15" ht="16.5" x14ac:dyDescent="0.3">
      <c r="B15" s="15" t="s">
        <v>36</v>
      </c>
      <c r="D15" s="16">
        <f>COUNT(N2:N11)</f>
        <v>10</v>
      </c>
    </row>
    <row r="16" spans="1:15" ht="16.5" x14ac:dyDescent="0.3">
      <c r="B16" s="15" t="s">
        <v>37</v>
      </c>
      <c r="D16" s="16">
        <f>COUNTIF(O2:O11,"Başarılı")</f>
        <v>7</v>
      </c>
    </row>
    <row r="17" spans="2:4" ht="16.5" x14ac:dyDescent="0.3">
      <c r="B17" s="15" t="s">
        <v>38</v>
      </c>
      <c r="D17" s="16">
        <f>COUNTIF(O2:O11,"Geliştirilmeli")</f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topLeftCell="A7" workbookViewId="0"/>
  </sheetViews>
  <sheetFormatPr defaultRowHeight="15" x14ac:dyDescent="0.25"/>
  <cols>
    <col min="1" max="1" width="15" customWidth="1"/>
    <col min="2" max="2" width="22" customWidth="1"/>
  </cols>
  <sheetData>
    <row r="1" spans="1:2" ht="16.5" x14ac:dyDescent="0.25">
      <c r="A1" s="1" t="s">
        <v>4</v>
      </c>
      <c r="B1" s="1" t="s">
        <v>5</v>
      </c>
    </row>
    <row r="2" spans="1:2" ht="16.5" x14ac:dyDescent="0.3">
      <c r="A2" s="2" t="s">
        <v>16</v>
      </c>
      <c r="B2" s="2" t="s">
        <v>39</v>
      </c>
    </row>
    <row r="3" spans="1:2" ht="16.5" x14ac:dyDescent="0.3">
      <c r="A3" s="8" t="s">
        <v>18</v>
      </c>
      <c r="B3" s="8" t="s">
        <v>40</v>
      </c>
    </row>
    <row r="4" spans="1:2" ht="16.5" x14ac:dyDescent="0.3">
      <c r="A4" s="2" t="s">
        <v>20</v>
      </c>
      <c r="B4" s="2" t="s">
        <v>41</v>
      </c>
    </row>
    <row r="5" spans="1:2" ht="16.5" x14ac:dyDescent="0.3">
      <c r="A5" s="8" t="s">
        <v>22</v>
      </c>
      <c r="B5" s="8" t="s">
        <v>42</v>
      </c>
    </row>
    <row r="6" spans="1:2" ht="16.5" x14ac:dyDescent="0.3">
      <c r="A6" s="2" t="s">
        <v>24</v>
      </c>
      <c r="B6" s="2" t="s">
        <v>40</v>
      </c>
    </row>
    <row r="7" spans="1:2" ht="16.5" x14ac:dyDescent="0.3">
      <c r="A7" s="8" t="s">
        <v>26</v>
      </c>
      <c r="B7" s="8" t="s">
        <v>39</v>
      </c>
    </row>
    <row r="8" spans="1:2" ht="16.5" x14ac:dyDescent="0.3">
      <c r="A8" s="2" t="s">
        <v>28</v>
      </c>
      <c r="B8" s="2" t="s">
        <v>41</v>
      </c>
    </row>
    <row r="9" spans="1:2" ht="16.5" x14ac:dyDescent="0.3">
      <c r="A9" s="8" t="s">
        <v>30</v>
      </c>
      <c r="B9" s="8" t="s">
        <v>42</v>
      </c>
    </row>
    <row r="10" spans="1:2" ht="16.5" x14ac:dyDescent="0.3">
      <c r="A10" s="2" t="s">
        <v>32</v>
      </c>
      <c r="B10" s="2" t="s">
        <v>40</v>
      </c>
    </row>
    <row r="11" spans="1:2" ht="16.5" x14ac:dyDescent="0.3">
      <c r="A11" s="8" t="s">
        <v>34</v>
      </c>
      <c r="B11" s="8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4"/>
  <sheetViews>
    <sheetView workbookViewId="0"/>
  </sheetViews>
  <sheetFormatPr defaultRowHeight="15" x14ac:dyDescent="0.25"/>
  <cols>
    <col min="1" max="1" width="15" customWidth="1"/>
    <col min="2" max="2" width="54" customWidth="1"/>
    <col min="3" max="3" width="96" customWidth="1"/>
  </cols>
  <sheetData>
    <row r="2" spans="2:3" ht="20.25" x14ac:dyDescent="0.35">
      <c r="B2" s="17" t="s">
        <v>44</v>
      </c>
    </row>
    <row r="4" spans="2:3" ht="16.5" x14ac:dyDescent="0.3">
      <c r="B4" s="14" t="s">
        <v>45</v>
      </c>
    </row>
    <row r="5" spans="2:3" ht="16.5" x14ac:dyDescent="0.3">
      <c r="B5" s="18" t="s">
        <v>46</v>
      </c>
      <c r="C5" s="18" t="s">
        <v>47</v>
      </c>
    </row>
    <row r="6" spans="2:3" ht="16.5" x14ac:dyDescent="0.3">
      <c r="B6" s="8" t="s">
        <v>39</v>
      </c>
      <c r="C6" s="19">
        <f>AVERAGEIF(Personel_Veri_Seti!$F$2:$F$11,"İnsan Kaynakları",Personel_Veri_Seti!$N$2:$N$11)</f>
        <v>87.5</v>
      </c>
    </row>
    <row r="7" spans="2:3" ht="16.5" x14ac:dyDescent="0.3">
      <c r="B7" s="8" t="s">
        <v>40</v>
      </c>
      <c r="C7" s="19">
        <f>AVERAGEIF(Personel_Veri_Seti!$F$2:$F$11,"Bilgi Teknolojileri",Personel_Veri_Seti!$N$2:$N$11)</f>
        <v>91.333333333333329</v>
      </c>
    </row>
    <row r="8" spans="2:3" ht="16.5" x14ac:dyDescent="0.3">
      <c r="B8" s="8" t="s">
        <v>41</v>
      </c>
      <c r="C8" s="19">
        <f>AVERAGEIF(Personel_Veri_Seti!$F$2:$F$11,"Pazarlama",Personel_Veri_Seti!$N$2:$N$11)</f>
        <v>71</v>
      </c>
    </row>
    <row r="9" spans="2:3" ht="16.5" x14ac:dyDescent="0.3">
      <c r="B9" s="8" t="s">
        <v>42</v>
      </c>
      <c r="C9" s="19">
        <f>AVERAGEIF(Personel_Veri_Seti!$F$2:$F$11,"Finans",Personel_Veri_Seti!$N$2:$N$11)</f>
        <v>84.5</v>
      </c>
    </row>
    <row r="10" spans="2:3" ht="16.5" x14ac:dyDescent="0.3">
      <c r="B10" s="8" t="s">
        <v>43</v>
      </c>
      <c r="C10" s="19">
        <f>AVERAGEIF(Personel_Veri_Seti!$F$2:$F$11,"Satış",Personel_Veri_Seti!$N$2:$N$11)</f>
        <v>79</v>
      </c>
    </row>
    <row r="11" spans="2:3" ht="16.5" x14ac:dyDescent="0.3">
      <c r="B11" s="20" t="s">
        <v>48</v>
      </c>
      <c r="C11" s="21">
        <f>AVERAGE(Personel_Veri_Seti!N2:N11)</f>
        <v>83.9</v>
      </c>
    </row>
    <row r="13" spans="2:3" ht="16.5" x14ac:dyDescent="0.25">
      <c r="B13" s="22" t="s">
        <v>49</v>
      </c>
    </row>
    <row r="14" spans="2:3" ht="33" x14ac:dyDescent="0.3">
      <c r="B14" s="23" t="s">
        <v>50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Personel_Veri_Seti</vt:lpstr>
      <vt:lpstr>Referans_Tablosu</vt:lpstr>
      <vt:lpstr>Pivot_Rapor_ve_Grafik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edanur fırat</cp:lastModifiedBy>
  <dcterms:created xsi:type="dcterms:W3CDTF">2026-06-22T19:27:04Z</dcterms:created>
  <dcterms:modified xsi:type="dcterms:W3CDTF">2026-06-22T19:33:37Z</dcterms:modified>
</cp:coreProperties>
</file>